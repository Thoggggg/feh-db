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gramming\Python\FEH Site\"/>
    </mc:Choice>
  </mc:AlternateContent>
  <xr:revisionPtr revIDLastSave="0" documentId="13_ncr:1_{3B5AB04F-F0C4-406C-B4F2-E5EE71B5AD80}" xr6:coauthVersionLast="47" xr6:coauthVersionMax="47" xr10:uidLastSave="{00000000-0000-0000-0000-000000000000}"/>
  <bookViews>
    <workbookView xWindow="-120" yWindow="-120" windowWidth="38640" windowHeight="21120" xr2:uid="{A1AF9F96-FB3E-4857-9D30-3AD0D37D1A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P8" i="1"/>
  <c r="I8" i="1"/>
  <c r="P9" i="1"/>
  <c r="Q9" i="1" s="1"/>
  <c r="P10" i="1"/>
  <c r="P11" i="1"/>
  <c r="Q11" i="1" s="1"/>
  <c r="P12" i="1"/>
  <c r="Q12" i="1" s="1"/>
  <c r="Q10" i="1"/>
  <c r="I9" i="1"/>
  <c r="J9" i="1" s="1"/>
  <c r="K9" i="1" s="1"/>
  <c r="I11" i="1"/>
  <c r="J11" i="1"/>
  <c r="K11" i="1" s="1"/>
  <c r="I12" i="1"/>
  <c r="J12" i="1"/>
  <c r="K12" i="1" s="1"/>
  <c r="H8" i="1"/>
  <c r="G9" i="1"/>
  <c r="G10" i="1"/>
  <c r="I10" i="1" s="1"/>
  <c r="J10" i="1" s="1"/>
  <c r="K10" i="1" s="1"/>
  <c r="G11" i="1"/>
  <c r="G12" i="1"/>
  <c r="G8" i="1"/>
  <c r="J8" i="1" s="1"/>
  <c r="H9" i="1"/>
  <c r="H10" i="1"/>
  <c r="H11" i="1"/>
  <c r="H12" i="1"/>
  <c r="E13" i="1"/>
  <c r="K8" i="1" l="1"/>
  <c r="N10" i="1"/>
  <c r="N8" i="1"/>
  <c r="O8" i="1" s="1"/>
  <c r="N11" i="1"/>
  <c r="N12" i="1"/>
  <c r="O12" i="1" s="1"/>
  <c r="N9" i="1"/>
  <c r="O9" i="1" s="1"/>
  <c r="L12" i="1"/>
  <c r="L8" i="1"/>
  <c r="L10" i="1"/>
  <c r="L9" i="1"/>
  <c r="L11" i="1"/>
  <c r="O11" i="1" l="1"/>
  <c r="O10" i="1"/>
</calcChain>
</file>

<file path=xl/sharedStrings.xml><?xml version="1.0" encoding="utf-8"?>
<sst xmlns="http://schemas.openxmlformats.org/spreadsheetml/2006/main" count="18" uniqueCount="18">
  <si>
    <t>Growth value</t>
  </si>
  <si>
    <t>Atk</t>
  </si>
  <si>
    <t>Hp</t>
  </si>
  <si>
    <t>Def</t>
  </si>
  <si>
    <t>Res</t>
  </si>
  <si>
    <t>Speed</t>
  </si>
  <si>
    <t>Growth rate</t>
  </si>
  <si>
    <t>Asset/Flaw</t>
  </si>
  <si>
    <t>lvl1</t>
  </si>
  <si>
    <t>lvl1 calc</t>
  </si>
  <si>
    <t>lvl40</t>
  </si>
  <si>
    <t>Grwth Rate calc</t>
  </si>
  <si>
    <t>lvl1 rank</t>
  </si>
  <si>
    <t>lvl1 rank no ties</t>
  </si>
  <si>
    <t>RANG(H13;$H$8:$H$12)</t>
  </si>
  <si>
    <t>RANG(H13;$H$8:$H$12)+NB.SI($L$7:L12;L13)</t>
  </si>
  <si>
    <t xml:space="preserve">  </t>
  </si>
  <si>
    <t>L13 + P13 + SI($O13&lt;=MOD($P$4*2;5);1;0) + SI($P$4&gt;=1; SI(MIN($E$8:$E$12)=-1;SI(E13=-1;3;0);SI(O13&lt;4;1;0));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</si>
</sst>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7720-0C6B-4B78-A690-CFE9D2E069AF}">
  <dimension ref="C4:Q14"/>
  <sheetViews>
    <sheetView tabSelected="1" workbookViewId="0">
      <selection activeCell="Q31" sqref="Q31"/>
    </sheetView>
  </sheetViews>
  <sheetFormatPr baseColWidth="10" defaultRowHeight="15"/>
  <cols>
    <col min="2" max="2" width="14.85546875" bestFit="1" customWidth="1"/>
    <col min="7" max="7" width="15.7109375" bestFit="1" customWidth="1"/>
    <col min="11" max="11" width="12.42578125" bestFit="1" customWidth="1"/>
  </cols>
  <sheetData>
    <row r="4" spans="3:17">
      <c r="P4" s="2">
        <v>3</v>
      </c>
    </row>
    <row r="7" spans="3:17">
      <c r="D7" t="s">
        <v>6</v>
      </c>
      <c r="E7" t="s">
        <v>7</v>
      </c>
      <c r="F7" t="s">
        <v>8</v>
      </c>
      <c r="G7" t="s">
        <v>11</v>
      </c>
      <c r="H7" t="s">
        <v>9</v>
      </c>
      <c r="K7" t="s">
        <v>0</v>
      </c>
      <c r="L7" t="s">
        <v>10</v>
      </c>
      <c r="N7" t="s">
        <v>12</v>
      </c>
      <c r="O7" t="s">
        <v>13</v>
      </c>
    </row>
    <row r="8" spans="3:17">
      <c r="C8" t="s">
        <v>2</v>
      </c>
      <c r="D8" s="2">
        <v>55</v>
      </c>
      <c r="E8" s="2"/>
      <c r="F8" s="2">
        <v>20</v>
      </c>
      <c r="G8">
        <f>D8+E8*5</f>
        <v>55</v>
      </c>
      <c r="H8">
        <f>F8+E8</f>
        <v>20</v>
      </c>
      <c r="I8">
        <f>G8*1.14</f>
        <v>62.699999999999996</v>
      </c>
      <c r="J8">
        <f>39*ROUNDDOWN(I8,0)/100</f>
        <v>24.18</v>
      </c>
      <c r="K8">
        <f>ROUNDDOWN(J8,0)</f>
        <v>24</v>
      </c>
      <c r="L8">
        <f>H8+K8</f>
        <v>44</v>
      </c>
      <c r="N8">
        <f>RANK(H8,$H$8:$H$12)</f>
        <v>1</v>
      </c>
      <c r="O8">
        <f>RANK(H8,$H$8:$H$12)+COUNTIF($N$7:N7,N8)</f>
        <v>1</v>
      </c>
      <c r="P8">
        <f>INT(($P$4*2)/5)</f>
        <v>1</v>
      </c>
      <c r="Q8" s="1">
        <f>L8 + P8 + IF($O8&lt;=MOD($P$4*2,5),1,0) + IF($P$4&gt;=1, IF(MIN($E$8:$E$12)=-1,IF(E8=-1,3,0),IF(O8&lt;4,1,0)), 0)</f>
        <v>46</v>
      </c>
    </row>
    <row r="9" spans="3:17">
      <c r="C9" t="s">
        <v>1</v>
      </c>
      <c r="D9" s="2">
        <v>50</v>
      </c>
      <c r="E9" s="2">
        <v>1</v>
      </c>
      <c r="F9" s="2">
        <v>8</v>
      </c>
      <c r="G9">
        <f t="shared" ref="G9:G12" si="0">D9+E9*5</f>
        <v>55</v>
      </c>
      <c r="H9">
        <f t="shared" ref="H9:H12" si="1">F9+E9</f>
        <v>9</v>
      </c>
      <c r="I9">
        <f t="shared" ref="I9:I12" si="2">G9*1.14</f>
        <v>62.699999999999996</v>
      </c>
      <c r="J9">
        <f t="shared" ref="J9:J12" si="3">39*ROUNDDOWN(I9,0)/100</f>
        <v>24.18</v>
      </c>
      <c r="K9">
        <f t="shared" ref="K9:K12" si="4">ROUNDDOWN(J9,0)</f>
        <v>24</v>
      </c>
      <c r="L9">
        <f t="shared" ref="L9:L11" si="5">H9+K9</f>
        <v>33</v>
      </c>
      <c r="N9">
        <f t="shared" ref="N9:N12" si="6">RANK(H9,$H$8:$H$12)</f>
        <v>2</v>
      </c>
      <c r="O9">
        <f>RANK(H9,$H$8:$H$12)+COUNTIF($N$7:N8,N9)</f>
        <v>2</v>
      </c>
      <c r="P9">
        <f>INT(($P$4*2)/5)</f>
        <v>1</v>
      </c>
      <c r="Q9" s="1">
        <f>L9 + P9 + IF($O9&lt;=MOD($P$4*2,5),1,0) + IF($P$4&gt;=1, IF(MIN($E$8:$E$12)=-1,IF(E9=-1,3,0),IF(O9&lt;4,1,0)), 0)</f>
        <v>34</v>
      </c>
    </row>
    <row r="10" spans="3:17">
      <c r="C10" t="s">
        <v>5</v>
      </c>
      <c r="D10" s="2">
        <v>50</v>
      </c>
      <c r="E10" s="2"/>
      <c r="F10" s="2">
        <v>9</v>
      </c>
      <c r="G10">
        <f t="shared" si="0"/>
        <v>50</v>
      </c>
      <c r="H10">
        <f t="shared" si="1"/>
        <v>9</v>
      </c>
      <c r="I10">
        <f>G10*1.14</f>
        <v>56.999999999999993</v>
      </c>
      <c r="J10">
        <f t="shared" si="3"/>
        <v>22.23</v>
      </c>
      <c r="K10">
        <f t="shared" si="4"/>
        <v>22</v>
      </c>
      <c r="L10">
        <f t="shared" si="5"/>
        <v>31</v>
      </c>
      <c r="N10">
        <f t="shared" si="6"/>
        <v>2</v>
      </c>
      <c r="O10">
        <f>RANK(H10,$H$8:$H$12)+COUNTIF($N$7:N9,N10)</f>
        <v>3</v>
      </c>
      <c r="P10">
        <f>INT(($P$4*2)/5)</f>
        <v>1</v>
      </c>
      <c r="Q10" s="1">
        <f>L10 + P10 + IF($O10&lt;=MOD($P$4*2,5),1,0) + IF($P$4&gt;=1, IF(MIN($E$8:$E$12)=-1,IF(E10=-1,3,0),IF(O10&lt;4,1,0)), 0)</f>
        <v>32</v>
      </c>
    </row>
    <row r="11" spans="3:17">
      <c r="C11" t="s">
        <v>3</v>
      </c>
      <c r="D11" s="2">
        <v>45</v>
      </c>
      <c r="E11" s="2">
        <v>-1</v>
      </c>
      <c r="F11" s="2">
        <v>6</v>
      </c>
      <c r="G11">
        <f t="shared" si="0"/>
        <v>40</v>
      </c>
      <c r="H11">
        <f t="shared" si="1"/>
        <v>5</v>
      </c>
      <c r="I11">
        <f t="shared" si="2"/>
        <v>45.599999999999994</v>
      </c>
      <c r="J11">
        <f t="shared" si="3"/>
        <v>17.55</v>
      </c>
      <c r="K11">
        <f t="shared" si="4"/>
        <v>17</v>
      </c>
      <c r="L11">
        <f t="shared" si="5"/>
        <v>22</v>
      </c>
      <c r="N11">
        <f t="shared" si="6"/>
        <v>4</v>
      </c>
      <c r="O11">
        <f>RANK(H11,$H$8:$H$12)+COUNTIF($N$7:N10,N11)</f>
        <v>4</v>
      </c>
      <c r="P11">
        <f>INT(($P$4*2)/5)</f>
        <v>1</v>
      </c>
      <c r="Q11" s="1">
        <f>L11 + P11 + IF($O11&lt;=MOD($P$4*2,5),1,0) + IF($P$4&gt;=1, IF(MIN($E$8:$E$12)=-1,IF(E11=-1,3,0),IF(O11&lt;4,1,0)), 0)</f>
        <v>26</v>
      </c>
    </row>
    <row r="12" spans="3:17">
      <c r="C12" t="s">
        <v>4</v>
      </c>
      <c r="D12" s="2">
        <v>55</v>
      </c>
      <c r="E12" s="2"/>
      <c r="F12" s="2">
        <v>4</v>
      </c>
      <c r="G12">
        <f t="shared" si="0"/>
        <v>55</v>
      </c>
      <c r="H12">
        <f t="shared" si="1"/>
        <v>4</v>
      </c>
      <c r="I12">
        <f t="shared" si="2"/>
        <v>62.699999999999996</v>
      </c>
      <c r="J12">
        <f t="shared" si="3"/>
        <v>24.18</v>
      </c>
      <c r="K12">
        <f t="shared" si="4"/>
        <v>24</v>
      </c>
      <c r="L12">
        <f>H12+K12</f>
        <v>28</v>
      </c>
      <c r="N12">
        <f t="shared" si="6"/>
        <v>5</v>
      </c>
      <c r="O12">
        <f>RANK(H12,$H$8:$H$12)+COUNTIF($N$7:N11,N12)</f>
        <v>5</v>
      </c>
      <c r="P12">
        <f>INT(($P$4*2)/5)</f>
        <v>1</v>
      </c>
      <c r="Q12" s="1">
        <f>L12 + P12 + IF($O12&lt;=MOD($P$4*2,5),1,0) + IF($P$4&gt;=1, IF(MIN($E$8:$E$12)=-1,IF(E12=-1,3,0),IF(O12&lt;4,1,0)), 0)</f>
        <v>29</v>
      </c>
    </row>
    <row r="13" spans="3:17">
      <c r="E13" t="b">
        <f>AND(OR(COUNTBLANK(E8:E12)=3,COUNTBLANK(E8:E12)=5),SUM(E8:E12)=0)</f>
        <v>1</v>
      </c>
      <c r="N13" t="s">
        <v>14</v>
      </c>
      <c r="O13" t="s">
        <v>15</v>
      </c>
      <c r="Q13" s="1" t="s">
        <v>17</v>
      </c>
    </row>
    <row r="14" spans="3:17">
      <c r="Q14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Garnier</dc:creator>
  <cp:lastModifiedBy>Théo Garnier</cp:lastModifiedBy>
  <dcterms:created xsi:type="dcterms:W3CDTF">2025-11-22T22:56:27Z</dcterms:created>
  <dcterms:modified xsi:type="dcterms:W3CDTF">2025-12-14T21:13:41Z</dcterms:modified>
</cp:coreProperties>
</file>